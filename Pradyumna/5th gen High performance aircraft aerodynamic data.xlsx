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M.Tech\NACDEC\"/>
    </mc:Choice>
  </mc:AlternateContent>
  <xr:revisionPtr revIDLastSave="0" documentId="13_ncr:1_{4D626CF6-248C-4BB6-8867-F7851E5B94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0" i="1" l="1"/>
  <c r="Q43" i="1"/>
  <c r="Q41" i="1"/>
  <c r="Q42" i="1"/>
  <c r="Q44" i="1"/>
  <c r="Q45" i="1"/>
</calcChain>
</file>

<file path=xl/sharedStrings.xml><?xml version="1.0" encoding="utf-8"?>
<sst xmlns="http://schemas.openxmlformats.org/spreadsheetml/2006/main" count="40" uniqueCount="20">
  <si>
    <t>C_L</t>
  </si>
  <si>
    <t>AoA (deg)</t>
  </si>
  <si>
    <t>C_D</t>
  </si>
  <si>
    <t>AoA</t>
  </si>
  <si>
    <t>C_M</t>
  </si>
  <si>
    <t>data Source</t>
  </si>
  <si>
    <t>https://arc.aiaa.org/doi/epdf/10.2514/6.2022-1951</t>
  </si>
  <si>
    <t>Parameter</t>
  </si>
  <si>
    <t>Value</t>
  </si>
  <si>
    <t>Units</t>
  </si>
  <si>
    <t>Reference Area</t>
  </si>
  <si>
    <r>
      <t>m</t>
    </r>
    <r>
      <rPr>
        <sz val="7.5"/>
        <color rgb="FF222222"/>
        <rFont val="Arial"/>
        <family val="2"/>
      </rPr>
      <t>2</t>
    </r>
  </si>
  <si>
    <t>Mean Aerodynamic Chord</t>
  </si>
  <si>
    <t>m</t>
  </si>
  <si>
    <t>Span</t>
  </si>
  <si>
    <r>
      <t>𝑋</t>
    </r>
    <r>
      <rPr>
        <sz val="5"/>
        <color rgb="FF222222"/>
        <rFont val="GyrePagellaMathJax_Normal"/>
      </rPr>
      <t>𝐶𝑜𝐺</t>
    </r>
    <r>
      <rPr>
        <sz val="7"/>
        <color rgb="FF222222"/>
        <rFont val="Arial"/>
        <family val="2"/>
      </rPr>
      <t>XCoG</t>
    </r>
  </si>
  <si>
    <r>
      <t>𝑌</t>
    </r>
    <r>
      <rPr>
        <sz val="5"/>
        <color rgb="FF222222"/>
        <rFont val="GyrePagellaMathJax_Normal"/>
      </rPr>
      <t>𝐶𝑜𝐺</t>
    </r>
    <r>
      <rPr>
        <sz val="7"/>
        <color rgb="FF222222"/>
        <rFont val="Arial"/>
        <family val="2"/>
      </rPr>
      <t>YCoG</t>
    </r>
  </si>
  <si>
    <r>
      <t>𝑍</t>
    </r>
    <r>
      <rPr>
        <sz val="5"/>
        <color rgb="FF222222"/>
        <rFont val="GyrePagellaMathJax_Normal"/>
      </rPr>
      <t>𝐶𝑜𝐺</t>
    </r>
    <r>
      <rPr>
        <sz val="7"/>
        <color rgb="FF222222"/>
        <rFont val="Arial"/>
        <family val="2"/>
      </rPr>
      <t>ZCoG</t>
    </r>
  </si>
  <si>
    <t>Parameters for 1:25 Scale model of aircraft</t>
  </si>
  <si>
    <t>Parameters for full Scale model of aircraft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</si>
</sst>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7"/>
      <color rgb="FF222222"/>
      <name val="Arial"/>
      <family val="2"/>
    </font>
    <font>
      <sz val="7"/>
      <color rgb="FF222222"/>
      <name val="Arial"/>
      <family val="2"/>
    </font>
    <font>
      <sz val="7.5"/>
      <color rgb="FF222222"/>
      <name val="Arial"/>
      <family val="2"/>
    </font>
    <font>
      <sz val="8"/>
      <color rgb="FF222222"/>
      <name val="GyrePagellaMathJax_Normal"/>
    </font>
    <font>
      <sz val="5"/>
      <color rgb="FF222222"/>
      <name val="GyrePagellaMathJax_Normal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2" fontId="2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94872108377756"/>
          <c:y val="9.4739005343197694E-2"/>
          <c:w val="0.81522167066073259"/>
          <c:h val="0.742636193287183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C_D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Sheet1!$B$2:$B$36</c:f>
              <c:numCache>
                <c:formatCode>General</c:formatCode>
                <c:ptCount val="35"/>
                <c:pt idx="0">
                  <c:v>-5.7851239669421597</c:v>
                </c:pt>
                <c:pt idx="1">
                  <c:v>-5.1652892561983599</c:v>
                </c:pt>
                <c:pt idx="2">
                  <c:v>-4.11157024793392</c:v>
                </c:pt>
                <c:pt idx="3">
                  <c:v>-3.1198347107437798</c:v>
                </c:pt>
                <c:pt idx="4">
                  <c:v>-2.0661157024793302</c:v>
                </c:pt>
                <c:pt idx="5">
                  <c:v>-1.07438016528925</c:v>
                </c:pt>
                <c:pt idx="6">
                  <c:v>-8.2644628099188794E-2</c:v>
                </c:pt>
                <c:pt idx="7">
                  <c:v>0.90909090909092005</c:v>
                </c:pt>
                <c:pt idx="8">
                  <c:v>1.9008264462810101</c:v>
                </c:pt>
                <c:pt idx="9">
                  <c:v>2.9545454545454199</c:v>
                </c:pt>
                <c:pt idx="10">
                  <c:v>3.8842975206611299</c:v>
                </c:pt>
                <c:pt idx="11">
                  <c:v>4.9380165289256102</c:v>
                </c:pt>
                <c:pt idx="12">
                  <c:v>5.9297520661157099</c:v>
                </c:pt>
                <c:pt idx="13">
                  <c:v>6.98347107438014</c:v>
                </c:pt>
                <c:pt idx="14">
                  <c:v>7.9752066115702496</c:v>
                </c:pt>
                <c:pt idx="15">
                  <c:v>9.0909090909091006</c:v>
                </c:pt>
                <c:pt idx="16">
                  <c:v>10.144628099173501</c:v>
                </c:pt>
                <c:pt idx="17">
                  <c:v>11.198347107438</c:v>
                </c:pt>
                <c:pt idx="18">
                  <c:v>12.3140495867768</c:v>
                </c:pt>
                <c:pt idx="19">
                  <c:v>13.4297520661157</c:v>
                </c:pt>
                <c:pt idx="20">
                  <c:v>14.4834710743801</c:v>
                </c:pt>
                <c:pt idx="21">
                  <c:v>15.599173553719</c:v>
                </c:pt>
                <c:pt idx="22">
                  <c:v>16.714876033057799</c:v>
                </c:pt>
                <c:pt idx="23">
                  <c:v>17.892561983471101</c:v>
                </c:pt>
                <c:pt idx="24">
                  <c:v>19.0702479338843</c:v>
                </c:pt>
                <c:pt idx="25">
                  <c:v>20.3719008264462</c:v>
                </c:pt>
                <c:pt idx="26">
                  <c:v>21.549586776859499</c:v>
                </c:pt>
                <c:pt idx="27">
                  <c:v>22.913223140495798</c:v>
                </c:pt>
                <c:pt idx="28">
                  <c:v>23.9669421487603</c:v>
                </c:pt>
                <c:pt idx="29">
                  <c:v>25.144628099173499</c:v>
                </c:pt>
                <c:pt idx="30">
                  <c:v>25.888429752066099</c:v>
                </c:pt>
                <c:pt idx="31">
                  <c:v>27.004132231404899</c:v>
                </c:pt>
                <c:pt idx="32">
                  <c:v>27.933884297520599</c:v>
                </c:pt>
                <c:pt idx="33">
                  <c:v>28.863636363636299</c:v>
                </c:pt>
                <c:pt idx="34">
                  <c:v>29.917355371900801</c:v>
                </c:pt>
              </c:numCache>
            </c:numRef>
          </c:xVal>
          <c:yVal>
            <c:numRef>
              <c:f>Sheet1!$C$2:$C$36</c:f>
              <c:numCache>
                <c:formatCode>General</c:formatCode>
                <c:ptCount val="35"/>
                <c:pt idx="0">
                  <c:v>7.2558139534880703E-2</c:v>
                </c:pt>
                <c:pt idx="1">
                  <c:v>6.3255813953485202E-2</c:v>
                </c:pt>
                <c:pt idx="2">
                  <c:v>5.58139534883689E-2</c:v>
                </c:pt>
                <c:pt idx="3">
                  <c:v>4.8372093023252599E-2</c:v>
                </c:pt>
                <c:pt idx="4">
                  <c:v>4.27906976744152E-2</c:v>
                </c:pt>
                <c:pt idx="5">
                  <c:v>3.9069767441857001E-2</c:v>
                </c:pt>
                <c:pt idx="6">
                  <c:v>3.5348837209299003E-2</c:v>
                </c:pt>
                <c:pt idx="7">
                  <c:v>3.53488372092991E-2</c:v>
                </c:pt>
                <c:pt idx="8">
                  <c:v>3.53488372092991E-2</c:v>
                </c:pt>
                <c:pt idx="9">
                  <c:v>3.7209302325578099E-2</c:v>
                </c:pt>
                <c:pt idx="10">
                  <c:v>4.0930232558136402E-2</c:v>
                </c:pt>
                <c:pt idx="11">
                  <c:v>4.8372093023252599E-2</c:v>
                </c:pt>
                <c:pt idx="12">
                  <c:v>5.5813953488368998E-2</c:v>
                </c:pt>
                <c:pt idx="13">
                  <c:v>6.8837209302322205E-2</c:v>
                </c:pt>
                <c:pt idx="14">
                  <c:v>7.9999999999996907E-2</c:v>
                </c:pt>
                <c:pt idx="15">
                  <c:v>9.6744186046508696E-2</c:v>
                </c:pt>
                <c:pt idx="16">
                  <c:v>0.115348837209299</c:v>
                </c:pt>
                <c:pt idx="17">
                  <c:v>0.135813953488369</c:v>
                </c:pt>
                <c:pt idx="18">
                  <c:v>0.15813953488371801</c:v>
                </c:pt>
                <c:pt idx="19">
                  <c:v>0.18418604651162501</c:v>
                </c:pt>
                <c:pt idx="20">
                  <c:v>0.21023255813953201</c:v>
                </c:pt>
                <c:pt idx="21">
                  <c:v>0.23999999999999699</c:v>
                </c:pt>
                <c:pt idx="22">
                  <c:v>0.271627906976742</c:v>
                </c:pt>
                <c:pt idx="23">
                  <c:v>0.30697674418604398</c:v>
                </c:pt>
                <c:pt idx="24">
                  <c:v>0.34418604651162599</c:v>
                </c:pt>
                <c:pt idx="25">
                  <c:v>0.386976744186044</c:v>
                </c:pt>
                <c:pt idx="26">
                  <c:v>0.42976744186046301</c:v>
                </c:pt>
                <c:pt idx="27">
                  <c:v>0.47441860465116098</c:v>
                </c:pt>
                <c:pt idx="28">
                  <c:v>0.51906976744185895</c:v>
                </c:pt>
                <c:pt idx="29">
                  <c:v>0.56372093023255698</c:v>
                </c:pt>
                <c:pt idx="30">
                  <c:v>0.59906976744185902</c:v>
                </c:pt>
                <c:pt idx="31">
                  <c:v>0.64186046511627803</c:v>
                </c:pt>
                <c:pt idx="32">
                  <c:v>0.68465116279069704</c:v>
                </c:pt>
                <c:pt idx="33">
                  <c:v>0.72744186046511605</c:v>
                </c:pt>
                <c:pt idx="34">
                  <c:v>0.77395348837209299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55-40E0-8E80-742FC1E86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55855"/>
        <c:axId val="197053935"/>
      </c:scatterChart>
      <c:valAx>
        <c:axId val="197055855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AoA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3935"/>
        <c:crosses val="autoZero"/>
        <c:crossBetween val="midCat"/>
        <c:minorUnit val="2"/>
      </c:valAx>
      <c:valAx>
        <c:axId val="19705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C_D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94872108377756"/>
          <c:y val="9.4739005343197694E-2"/>
          <c:w val="0.81522167066073259"/>
          <c:h val="0.742636193287183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C_L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Sheet1!$E$2:$E$36</c:f>
              <c:numCache>
                <c:formatCode>General</c:formatCode>
                <c:ptCount val="35"/>
                <c:pt idx="0">
                  <c:v>-5.79092159559824</c:v>
                </c:pt>
                <c:pt idx="1">
                  <c:v>-5.1719394773038898</c:v>
                </c:pt>
                <c:pt idx="2">
                  <c:v>-4.18156808803292</c:v>
                </c:pt>
                <c:pt idx="3">
                  <c:v>-3.12929848693252</c:v>
                </c:pt>
                <c:pt idx="4">
                  <c:v>-2.0770288858321102</c:v>
                </c:pt>
                <c:pt idx="5">
                  <c:v>-1.02475928473171</c:v>
                </c:pt>
                <c:pt idx="6">
                  <c:v>-3.43878954607355E-2</c:v>
                </c:pt>
                <c:pt idx="7">
                  <c:v>0.89408528198079296</c:v>
                </c:pt>
                <c:pt idx="8">
                  <c:v>1.8844566712517701</c:v>
                </c:pt>
                <c:pt idx="9">
                  <c:v>2.9367262723521699</c:v>
                </c:pt>
                <c:pt idx="10">
                  <c:v>3.8651994497937001</c:v>
                </c:pt>
                <c:pt idx="11">
                  <c:v>4.9793672627235397</c:v>
                </c:pt>
                <c:pt idx="12">
                  <c:v>5.9078404401650797</c:v>
                </c:pt>
                <c:pt idx="13">
                  <c:v>6.9601100412654899</c:v>
                </c:pt>
                <c:pt idx="14">
                  <c:v>8.0742778541953406</c:v>
                </c:pt>
                <c:pt idx="15">
                  <c:v>9.1265474552957304</c:v>
                </c:pt>
                <c:pt idx="16">
                  <c:v>10.1169188445666</c:v>
                </c:pt>
                <c:pt idx="17">
                  <c:v>11.1691884456671</c:v>
                </c:pt>
                <c:pt idx="18">
                  <c:v>12.345254470426299</c:v>
                </c:pt>
                <c:pt idx="19">
                  <c:v>13.3975240715267</c:v>
                </c:pt>
                <c:pt idx="20">
                  <c:v>14.511691884456599</c:v>
                </c:pt>
                <c:pt idx="21">
                  <c:v>15.625859697386399</c:v>
                </c:pt>
                <c:pt idx="22">
                  <c:v>16.678129298486802</c:v>
                </c:pt>
                <c:pt idx="23">
                  <c:v>17.9160935350755</c:v>
                </c:pt>
                <c:pt idx="24">
                  <c:v>19.0302613480054</c:v>
                </c:pt>
                <c:pt idx="25">
                  <c:v>20.3301237964235</c:v>
                </c:pt>
                <c:pt idx="26">
                  <c:v>21.6299862448417</c:v>
                </c:pt>
                <c:pt idx="27">
                  <c:v>22.867950481430402</c:v>
                </c:pt>
                <c:pt idx="28">
                  <c:v>23.982118294360198</c:v>
                </c:pt>
                <c:pt idx="29">
                  <c:v>25.096286107290101</c:v>
                </c:pt>
                <c:pt idx="30">
                  <c:v>25.839064649243301</c:v>
                </c:pt>
                <c:pt idx="31">
                  <c:v>27.015130674002599</c:v>
                </c:pt>
                <c:pt idx="32">
                  <c:v>27.943603851444099</c:v>
                </c:pt>
                <c:pt idx="33">
                  <c:v>28.810178817056201</c:v>
                </c:pt>
                <c:pt idx="34">
                  <c:v>29.8624484181566</c:v>
                </c:pt>
              </c:numCache>
            </c:numRef>
          </c:xVal>
          <c:yVal>
            <c:numRef>
              <c:f>Sheet1!$F$2:$F$36</c:f>
              <c:numCache>
                <c:formatCode>General</c:formatCode>
                <c:ptCount val="35"/>
                <c:pt idx="0">
                  <c:v>-0.35454545454546299</c:v>
                </c:pt>
                <c:pt idx="1">
                  <c:v>-0.30909090909091802</c:v>
                </c:pt>
                <c:pt idx="2">
                  <c:v>-0.245454545454554</c:v>
                </c:pt>
                <c:pt idx="3">
                  <c:v>-0.186363636363645</c:v>
                </c:pt>
                <c:pt idx="4">
                  <c:v>-0.12272727272728</c:v>
                </c:pt>
                <c:pt idx="5">
                  <c:v>-5.90909090909175E-2</c:v>
                </c:pt>
                <c:pt idx="6">
                  <c:v>-9.0909090909172506E-3</c:v>
                </c:pt>
                <c:pt idx="7">
                  <c:v>4.9999999999992203E-2</c:v>
                </c:pt>
                <c:pt idx="8">
                  <c:v>0.104545454545447</c:v>
                </c:pt>
                <c:pt idx="9">
                  <c:v>0.16818181818180999</c:v>
                </c:pt>
                <c:pt idx="10">
                  <c:v>0.23181818181817501</c:v>
                </c:pt>
                <c:pt idx="11">
                  <c:v>0.30454545454544701</c:v>
                </c:pt>
                <c:pt idx="12">
                  <c:v>0.368181818181812</c:v>
                </c:pt>
                <c:pt idx="13">
                  <c:v>0.43636363636363001</c:v>
                </c:pt>
                <c:pt idx="14">
                  <c:v>0.499999999999995</c:v>
                </c:pt>
                <c:pt idx="15">
                  <c:v>0.56363636363635905</c:v>
                </c:pt>
                <c:pt idx="16">
                  <c:v>0.63181818181817695</c:v>
                </c:pt>
                <c:pt idx="17">
                  <c:v>0.69090909090908603</c:v>
                </c:pt>
                <c:pt idx="18">
                  <c:v>0.74545454545454104</c:v>
                </c:pt>
                <c:pt idx="19">
                  <c:v>0.80454545454545001</c:v>
                </c:pt>
                <c:pt idx="20">
                  <c:v>0.86363636363635898</c:v>
                </c:pt>
                <c:pt idx="21">
                  <c:v>0.92727272727272403</c:v>
                </c:pt>
                <c:pt idx="22">
                  <c:v>0.97727272727272396</c:v>
                </c:pt>
                <c:pt idx="23">
                  <c:v>1.0363636363636299</c:v>
                </c:pt>
                <c:pt idx="24">
                  <c:v>1.08636363636363</c:v>
                </c:pt>
                <c:pt idx="25">
                  <c:v>1.13636363636363</c:v>
                </c:pt>
                <c:pt idx="26">
                  <c:v>1.1863636363636301</c:v>
                </c:pt>
                <c:pt idx="27">
                  <c:v>1.2318181818181799</c:v>
                </c:pt>
                <c:pt idx="28">
                  <c:v>1.28181818181818</c:v>
                </c:pt>
                <c:pt idx="29">
                  <c:v>1.3181818181818099</c:v>
                </c:pt>
                <c:pt idx="30">
                  <c:v>1.36363636363636</c:v>
                </c:pt>
                <c:pt idx="31">
                  <c:v>1.4045454545454501</c:v>
                </c:pt>
                <c:pt idx="32">
                  <c:v>1.44090909090909</c:v>
                </c:pt>
                <c:pt idx="33">
                  <c:v>1.47727272727272</c:v>
                </c:pt>
                <c:pt idx="34">
                  <c:v>1.5136363636363599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B9-4A47-9060-AC7310576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55855"/>
        <c:axId val="197053935"/>
      </c:scatterChart>
      <c:valAx>
        <c:axId val="197055855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AoA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3935"/>
        <c:crosses val="autoZero"/>
        <c:crossBetween val="midCat"/>
        <c:minorUnit val="2"/>
      </c:valAx>
      <c:valAx>
        <c:axId val="19705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C_L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06466311276304"/>
          <c:y val="9.4739005343197694E-2"/>
          <c:w val="0.79710572863174711"/>
          <c:h val="0.742636193287183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C_M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Sheet1!$H$2:$H$35</c:f>
              <c:numCache>
                <c:formatCode>General</c:formatCode>
                <c:ptCount val="34"/>
                <c:pt idx="0">
                  <c:v>-5.8413793103447702</c:v>
                </c:pt>
                <c:pt idx="1">
                  <c:v>-5.0965517241378899</c:v>
                </c:pt>
                <c:pt idx="2">
                  <c:v>-4.1034482758619504</c:v>
                </c:pt>
                <c:pt idx="3">
                  <c:v>-3.1103448275861298</c:v>
                </c:pt>
                <c:pt idx="4">
                  <c:v>-2.0551724137930498</c:v>
                </c:pt>
                <c:pt idx="5">
                  <c:v>-0.99999999999995703</c:v>
                </c:pt>
                <c:pt idx="6">
                  <c:v>0.92413793103453601</c:v>
                </c:pt>
                <c:pt idx="7">
                  <c:v>1.9793103448276499</c:v>
                </c:pt>
                <c:pt idx="8">
                  <c:v>2.9724137931034802</c:v>
                </c:pt>
                <c:pt idx="9">
                  <c:v>3.9034482758620301</c:v>
                </c:pt>
                <c:pt idx="10">
                  <c:v>5.02068965517247</c:v>
                </c:pt>
                <c:pt idx="11">
                  <c:v>6.0137931034483199</c:v>
                </c:pt>
                <c:pt idx="12">
                  <c:v>7.0068965517241804</c:v>
                </c:pt>
                <c:pt idx="13">
                  <c:v>8.0620689655172804</c:v>
                </c:pt>
                <c:pt idx="14">
                  <c:v>9.1172413793103999</c:v>
                </c:pt>
                <c:pt idx="15">
                  <c:v>10.1724137931034</c:v>
                </c:pt>
                <c:pt idx="16">
                  <c:v>11.2275862068965</c:v>
                </c:pt>
                <c:pt idx="17">
                  <c:v>12.3448275862069</c:v>
                </c:pt>
                <c:pt idx="18">
                  <c:v>13.462068965517201</c:v>
                </c:pt>
                <c:pt idx="19">
                  <c:v>14.517241379310301</c:v>
                </c:pt>
                <c:pt idx="20">
                  <c:v>15.634482758620701</c:v>
                </c:pt>
                <c:pt idx="21">
                  <c:v>16.689655172413801</c:v>
                </c:pt>
                <c:pt idx="22">
                  <c:v>17.931034482758601</c:v>
                </c:pt>
                <c:pt idx="23">
                  <c:v>19.048275862068898</c:v>
                </c:pt>
                <c:pt idx="24">
                  <c:v>20.413793103448299</c:v>
                </c:pt>
                <c:pt idx="25">
                  <c:v>21.6551724137931</c:v>
                </c:pt>
                <c:pt idx="26">
                  <c:v>22.8965517241379</c:v>
                </c:pt>
                <c:pt idx="27">
                  <c:v>24.075862068965499</c:v>
                </c:pt>
                <c:pt idx="28">
                  <c:v>25.193103448275799</c:v>
                </c:pt>
                <c:pt idx="29">
                  <c:v>25.937931034482698</c:v>
                </c:pt>
                <c:pt idx="30">
                  <c:v>26.9931034482758</c:v>
                </c:pt>
                <c:pt idx="31">
                  <c:v>27.924137931034501</c:v>
                </c:pt>
                <c:pt idx="32">
                  <c:v>28.855172413793099</c:v>
                </c:pt>
                <c:pt idx="33">
                  <c:v>29.910344827586201</c:v>
                </c:pt>
              </c:numCache>
            </c:numRef>
          </c:xVal>
          <c:yVal>
            <c:numRef>
              <c:f>Sheet1!$I$2:$I$35</c:f>
              <c:numCache>
                <c:formatCode>General</c:formatCode>
                <c:ptCount val="34"/>
                <c:pt idx="0">
                  <c:v>-8.6363636363636E-3</c:v>
                </c:pt>
                <c:pt idx="1">
                  <c:v>-5.4545454545454897E-3</c:v>
                </c:pt>
                <c:pt idx="2">
                  <c:v>-1.8181818181818199E-3</c:v>
                </c:pt>
                <c:pt idx="3">
                  <c:v>2.2727272727273099E-3</c:v>
                </c:pt>
                <c:pt idx="4">
                  <c:v>6.3636363636363404E-3</c:v>
                </c:pt>
                <c:pt idx="5">
                  <c:v>1.09090909090909E-2</c:v>
                </c:pt>
                <c:pt idx="6">
                  <c:v>2.0909090909090901E-2</c:v>
                </c:pt>
                <c:pt idx="7">
                  <c:v>2.6363636363636301E-2</c:v>
                </c:pt>
                <c:pt idx="8">
                  <c:v>3.1818181818181801E-2</c:v>
                </c:pt>
                <c:pt idx="9">
                  <c:v>3.6818181818182E-2</c:v>
                </c:pt>
                <c:pt idx="10">
                  <c:v>4.2272727272727302E-2</c:v>
                </c:pt>
                <c:pt idx="11">
                  <c:v>4.86363636363637E-2</c:v>
                </c:pt>
                <c:pt idx="12">
                  <c:v>5.5909090909090998E-2</c:v>
                </c:pt>
                <c:pt idx="13">
                  <c:v>6.2727272727272604E-2</c:v>
                </c:pt>
                <c:pt idx="14">
                  <c:v>6.9090909090909106E-2</c:v>
                </c:pt>
                <c:pt idx="15">
                  <c:v>7.7272727272727298E-2</c:v>
                </c:pt>
                <c:pt idx="16">
                  <c:v>8.5000000000000103E-2</c:v>
                </c:pt>
                <c:pt idx="17">
                  <c:v>8.7727272727272806E-2</c:v>
                </c:pt>
                <c:pt idx="18">
                  <c:v>8.8181818181818195E-2</c:v>
                </c:pt>
                <c:pt idx="19">
                  <c:v>8.8181818181818097E-2</c:v>
                </c:pt>
                <c:pt idx="20">
                  <c:v>0.09</c:v>
                </c:pt>
                <c:pt idx="21">
                  <c:v>9.2272727272727298E-2</c:v>
                </c:pt>
                <c:pt idx="22">
                  <c:v>9.7727272727272801E-2</c:v>
                </c:pt>
                <c:pt idx="23">
                  <c:v>0.10045454545454501</c:v>
                </c:pt>
                <c:pt idx="24">
                  <c:v>0.103636363636363</c:v>
                </c:pt>
                <c:pt idx="25">
                  <c:v>0.107727272727273</c:v>
                </c:pt>
                <c:pt idx="26">
                  <c:v>0.111818181818181</c:v>
                </c:pt>
                <c:pt idx="27">
                  <c:v>0.11363636363636299</c:v>
                </c:pt>
                <c:pt idx="28">
                  <c:v>0.11454545454545401</c:v>
                </c:pt>
                <c:pt idx="29">
                  <c:v>0.118181818181818</c:v>
                </c:pt>
                <c:pt idx="30">
                  <c:v>0.118636363636363</c:v>
                </c:pt>
                <c:pt idx="31">
                  <c:v>0.118636363636363</c:v>
                </c:pt>
                <c:pt idx="32">
                  <c:v>0.118181818181818</c:v>
                </c:pt>
                <c:pt idx="33">
                  <c:v>0.117272727272727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FC-4705-BB51-279F69EB3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55855"/>
        <c:axId val="197053935"/>
      </c:scatterChart>
      <c:valAx>
        <c:axId val="197055855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AoA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3935"/>
        <c:crosses val="autoZero"/>
        <c:crossBetween val="midCat"/>
        <c:minorUnit val="2"/>
      </c:valAx>
      <c:valAx>
        <c:axId val="19705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C_M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434340</xdr:colOff>
      <xdr:row>0</xdr:row>
      <xdr:rowOff>144780</xdr:rowOff>
    </xdr:from>
    <xdr:to>
      <xdr:col>22</xdr:col>
      <xdr:colOff>464820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7F6E28-EDD1-E539-F429-B6335775A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403860</xdr:colOff>
      <xdr:row>18</xdr:row>
      <xdr:rowOff>91440</xdr:rowOff>
    </xdr:from>
    <xdr:to>
      <xdr:col>22</xdr:col>
      <xdr:colOff>434340</xdr:colOff>
      <xdr:row>35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BB6474-1B83-4B21-A305-E9C8E5567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7620</xdr:colOff>
      <xdr:row>18</xdr:row>
      <xdr:rowOff>99060</xdr:rowOff>
    </xdr:from>
    <xdr:to>
      <xdr:col>31</xdr:col>
      <xdr:colOff>38100</xdr:colOff>
      <xdr:row>35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4F0F14-33CF-4381-8D30-411C2DC92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5"/>
  <sheetViews>
    <sheetView tabSelected="1" topLeftCell="C28" zoomScale="85" zoomScaleNormal="85" workbookViewId="0">
      <selection activeCell="K52" sqref="K52"/>
    </sheetView>
  </sheetViews>
  <sheetFormatPr defaultRowHeight="14.4" x14ac:dyDescent="0.3"/>
  <cols>
    <col min="2" max="2" width="14.44140625" bestFit="1" customWidth="1"/>
    <col min="3" max="3" width="13.6640625" bestFit="1" customWidth="1"/>
    <col min="5" max="6" width="14.44140625" bestFit="1" customWidth="1"/>
    <col min="8" max="9" width="14.44140625" bestFit="1" customWidth="1"/>
    <col min="11" max="11" width="12.88671875" customWidth="1"/>
    <col min="12" max="12" width="22.5546875" customWidth="1"/>
    <col min="13" max="13" width="6" customWidth="1"/>
    <col min="14" max="14" width="5.77734375" bestFit="1" customWidth="1"/>
    <col min="16" max="16" width="16.21875" customWidth="1"/>
  </cols>
  <sheetData>
    <row r="1" spans="2:12" x14ac:dyDescent="0.3">
      <c r="B1" t="s">
        <v>1</v>
      </c>
      <c r="C1" t="s">
        <v>2</v>
      </c>
      <c r="E1" t="s">
        <v>1</v>
      </c>
      <c r="F1" t="s">
        <v>0</v>
      </c>
      <c r="H1" t="s">
        <v>3</v>
      </c>
      <c r="I1" t="s">
        <v>4</v>
      </c>
      <c r="K1" t="s">
        <v>5</v>
      </c>
      <c r="L1" t="s">
        <v>6</v>
      </c>
    </row>
    <row r="2" spans="2:12" x14ac:dyDescent="0.3">
      <c r="B2">
        <v>-5.7851239669421597</v>
      </c>
      <c r="C2">
        <v>7.2558139534880703E-2</v>
      </c>
      <c r="E2">
        <v>-5.79092159559824</v>
      </c>
      <c r="F2">
        <v>-0.35454545454546299</v>
      </c>
      <c r="H2">
        <v>-5.8413793103447702</v>
      </c>
      <c r="I2">
        <v>-8.6363636363636E-3</v>
      </c>
    </row>
    <row r="3" spans="2:12" x14ac:dyDescent="0.3">
      <c r="B3">
        <v>-5.1652892561983599</v>
      </c>
      <c r="C3">
        <v>6.3255813953485202E-2</v>
      </c>
      <c r="E3">
        <v>-5.1719394773038898</v>
      </c>
      <c r="F3">
        <v>-0.30909090909091802</v>
      </c>
      <c r="H3">
        <v>-5.0965517241378899</v>
      </c>
      <c r="I3">
        <v>-5.4545454545454897E-3</v>
      </c>
    </row>
    <row r="4" spans="2:12" x14ac:dyDescent="0.3">
      <c r="B4">
        <v>-4.11157024793392</v>
      </c>
      <c r="C4">
        <v>5.58139534883689E-2</v>
      </c>
      <c r="E4">
        <v>-4.18156808803292</v>
      </c>
      <c r="F4">
        <v>-0.245454545454554</v>
      </c>
      <c r="H4">
        <v>-4.1034482758619504</v>
      </c>
      <c r="I4">
        <v>-1.8181818181818199E-3</v>
      </c>
    </row>
    <row r="5" spans="2:12" x14ac:dyDescent="0.3">
      <c r="B5">
        <v>-3.1198347107437798</v>
      </c>
      <c r="C5">
        <v>4.8372093023252599E-2</v>
      </c>
      <c r="E5">
        <v>-3.12929848693252</v>
      </c>
      <c r="F5">
        <v>-0.186363636363645</v>
      </c>
      <c r="H5">
        <v>-3.1103448275861298</v>
      </c>
      <c r="I5">
        <v>2.2727272727273099E-3</v>
      </c>
    </row>
    <row r="6" spans="2:12" x14ac:dyDescent="0.3">
      <c r="B6">
        <v>-2.0661157024793302</v>
      </c>
      <c r="C6">
        <v>4.27906976744152E-2</v>
      </c>
      <c r="E6">
        <v>-2.0770288858321102</v>
      </c>
      <c r="F6">
        <v>-0.12272727272728</v>
      </c>
      <c r="H6">
        <v>-2.0551724137930498</v>
      </c>
      <c r="I6">
        <v>6.3636363636363404E-3</v>
      </c>
    </row>
    <row r="7" spans="2:12" x14ac:dyDescent="0.3">
      <c r="B7">
        <v>-1.07438016528925</v>
      </c>
      <c r="C7">
        <v>3.9069767441857001E-2</v>
      </c>
      <c r="E7">
        <v>-1.02475928473171</v>
      </c>
      <c r="F7">
        <v>-5.90909090909175E-2</v>
      </c>
      <c r="H7">
        <v>-0.99999999999995703</v>
      </c>
      <c r="I7">
        <v>1.09090909090909E-2</v>
      </c>
    </row>
    <row r="8" spans="2:12" x14ac:dyDescent="0.3">
      <c r="B8">
        <v>-8.2644628099188794E-2</v>
      </c>
      <c r="C8">
        <v>3.5348837209299003E-2</v>
      </c>
      <c r="E8">
        <v>-3.43878954607355E-2</v>
      </c>
      <c r="F8">
        <v>-9.0909090909172506E-3</v>
      </c>
      <c r="H8">
        <v>0.92413793103453601</v>
      </c>
      <c r="I8">
        <v>2.0909090909090901E-2</v>
      </c>
    </row>
    <row r="9" spans="2:12" x14ac:dyDescent="0.3">
      <c r="B9">
        <v>0.90909090909092005</v>
      </c>
      <c r="C9">
        <v>3.53488372092991E-2</v>
      </c>
      <c r="E9">
        <v>0.89408528198079296</v>
      </c>
      <c r="F9">
        <v>4.9999999999992203E-2</v>
      </c>
      <c r="H9">
        <v>1.9793103448276499</v>
      </c>
      <c r="I9">
        <v>2.6363636363636301E-2</v>
      </c>
    </row>
    <row r="10" spans="2:12" x14ac:dyDescent="0.3">
      <c r="B10">
        <v>1.9008264462810101</v>
      </c>
      <c r="C10">
        <v>3.53488372092991E-2</v>
      </c>
      <c r="E10">
        <v>1.8844566712517701</v>
      </c>
      <c r="F10">
        <v>0.104545454545447</v>
      </c>
      <c r="H10">
        <v>2.9724137931034802</v>
      </c>
      <c r="I10">
        <v>3.1818181818181801E-2</v>
      </c>
    </row>
    <row r="11" spans="2:12" x14ac:dyDescent="0.3">
      <c r="B11">
        <v>2.9545454545454199</v>
      </c>
      <c r="C11">
        <v>3.7209302325578099E-2</v>
      </c>
      <c r="E11">
        <v>2.9367262723521699</v>
      </c>
      <c r="F11">
        <v>0.16818181818180999</v>
      </c>
      <c r="H11">
        <v>3.9034482758620301</v>
      </c>
      <c r="I11">
        <v>3.6818181818182E-2</v>
      </c>
    </row>
    <row r="12" spans="2:12" x14ac:dyDescent="0.3">
      <c r="B12">
        <v>3.8842975206611299</v>
      </c>
      <c r="C12">
        <v>4.0930232558136402E-2</v>
      </c>
      <c r="E12">
        <v>3.8651994497937001</v>
      </c>
      <c r="F12">
        <v>0.23181818181817501</v>
      </c>
      <c r="H12">
        <v>5.02068965517247</v>
      </c>
      <c r="I12">
        <v>4.2272727272727302E-2</v>
      </c>
    </row>
    <row r="13" spans="2:12" x14ac:dyDescent="0.3">
      <c r="B13">
        <v>4.9380165289256102</v>
      </c>
      <c r="C13">
        <v>4.8372093023252599E-2</v>
      </c>
      <c r="E13">
        <v>4.9793672627235397</v>
      </c>
      <c r="F13">
        <v>0.30454545454544701</v>
      </c>
      <c r="H13">
        <v>6.0137931034483199</v>
      </c>
      <c r="I13">
        <v>4.86363636363637E-2</v>
      </c>
    </row>
    <row r="14" spans="2:12" x14ac:dyDescent="0.3">
      <c r="B14">
        <v>5.9297520661157099</v>
      </c>
      <c r="C14">
        <v>5.5813953488368998E-2</v>
      </c>
      <c r="E14">
        <v>5.9078404401650797</v>
      </c>
      <c r="F14">
        <v>0.368181818181812</v>
      </c>
      <c r="H14">
        <v>7.0068965517241804</v>
      </c>
      <c r="I14">
        <v>5.5909090909090998E-2</v>
      </c>
    </row>
    <row r="15" spans="2:12" x14ac:dyDescent="0.3">
      <c r="B15">
        <v>6.98347107438014</v>
      </c>
      <c r="C15">
        <v>6.8837209302322205E-2</v>
      </c>
      <c r="E15">
        <v>6.9601100412654899</v>
      </c>
      <c r="F15">
        <v>0.43636363636363001</v>
      </c>
      <c r="H15">
        <v>8.0620689655172804</v>
      </c>
      <c r="I15">
        <v>6.2727272727272604E-2</v>
      </c>
    </row>
    <row r="16" spans="2:12" x14ac:dyDescent="0.3">
      <c r="B16">
        <v>7.9752066115702496</v>
      </c>
      <c r="C16">
        <v>7.9999999999996907E-2</v>
      </c>
      <c r="E16">
        <v>8.0742778541953406</v>
      </c>
      <c r="F16">
        <v>0.499999999999995</v>
      </c>
      <c r="H16">
        <v>9.1172413793103999</v>
      </c>
      <c r="I16">
        <v>6.9090909090909106E-2</v>
      </c>
    </row>
    <row r="17" spans="2:9" x14ac:dyDescent="0.3">
      <c r="B17">
        <v>9.0909090909091006</v>
      </c>
      <c r="C17">
        <v>9.6744186046508696E-2</v>
      </c>
      <c r="E17">
        <v>9.1265474552957304</v>
      </c>
      <c r="F17">
        <v>0.56363636363635905</v>
      </c>
      <c r="H17">
        <v>10.1724137931034</v>
      </c>
      <c r="I17">
        <v>7.7272727272727298E-2</v>
      </c>
    </row>
    <row r="18" spans="2:9" x14ac:dyDescent="0.3">
      <c r="B18">
        <v>10.144628099173501</v>
      </c>
      <c r="C18">
        <v>0.115348837209299</v>
      </c>
      <c r="E18">
        <v>10.1169188445666</v>
      </c>
      <c r="F18">
        <v>0.63181818181817695</v>
      </c>
      <c r="H18">
        <v>11.2275862068965</v>
      </c>
      <c r="I18">
        <v>8.5000000000000103E-2</v>
      </c>
    </row>
    <row r="19" spans="2:9" x14ac:dyDescent="0.3">
      <c r="B19">
        <v>11.198347107438</v>
      </c>
      <c r="C19">
        <v>0.135813953488369</v>
      </c>
      <c r="E19">
        <v>11.1691884456671</v>
      </c>
      <c r="F19">
        <v>0.69090909090908603</v>
      </c>
      <c r="H19">
        <v>12.3448275862069</v>
      </c>
      <c r="I19">
        <v>8.7727272727272806E-2</v>
      </c>
    </row>
    <row r="20" spans="2:9" x14ac:dyDescent="0.3">
      <c r="B20">
        <v>12.3140495867768</v>
      </c>
      <c r="C20">
        <v>0.15813953488371801</v>
      </c>
      <c r="E20">
        <v>12.345254470426299</v>
      </c>
      <c r="F20">
        <v>0.74545454545454104</v>
      </c>
      <c r="H20">
        <v>13.462068965517201</v>
      </c>
      <c r="I20">
        <v>8.8181818181818195E-2</v>
      </c>
    </row>
    <row r="21" spans="2:9" x14ac:dyDescent="0.3">
      <c r="B21">
        <v>13.4297520661157</v>
      </c>
      <c r="C21">
        <v>0.18418604651162501</v>
      </c>
      <c r="E21">
        <v>13.3975240715267</v>
      </c>
      <c r="F21">
        <v>0.80454545454545001</v>
      </c>
      <c r="H21">
        <v>14.517241379310301</v>
      </c>
      <c r="I21">
        <v>8.8181818181818097E-2</v>
      </c>
    </row>
    <row r="22" spans="2:9" x14ac:dyDescent="0.3">
      <c r="B22">
        <v>14.4834710743801</v>
      </c>
      <c r="C22">
        <v>0.21023255813953201</v>
      </c>
      <c r="E22">
        <v>14.511691884456599</v>
      </c>
      <c r="F22">
        <v>0.86363636363635898</v>
      </c>
      <c r="H22">
        <v>15.634482758620701</v>
      </c>
      <c r="I22">
        <v>0.09</v>
      </c>
    </row>
    <row r="23" spans="2:9" x14ac:dyDescent="0.3">
      <c r="B23">
        <v>15.599173553719</v>
      </c>
      <c r="C23">
        <v>0.23999999999999699</v>
      </c>
      <c r="E23">
        <v>15.625859697386399</v>
      </c>
      <c r="F23">
        <v>0.92727272727272403</v>
      </c>
      <c r="H23">
        <v>16.689655172413801</v>
      </c>
      <c r="I23">
        <v>9.2272727272727298E-2</v>
      </c>
    </row>
    <row r="24" spans="2:9" x14ac:dyDescent="0.3">
      <c r="B24">
        <v>16.714876033057799</v>
      </c>
      <c r="C24">
        <v>0.271627906976742</v>
      </c>
      <c r="E24">
        <v>16.678129298486802</v>
      </c>
      <c r="F24">
        <v>0.97727272727272396</v>
      </c>
      <c r="H24">
        <v>17.931034482758601</v>
      </c>
      <c r="I24">
        <v>9.7727272727272801E-2</v>
      </c>
    </row>
    <row r="25" spans="2:9" x14ac:dyDescent="0.3">
      <c r="B25">
        <v>17.892561983471101</v>
      </c>
      <c r="C25">
        <v>0.30697674418604398</v>
      </c>
      <c r="E25">
        <v>17.9160935350755</v>
      </c>
      <c r="F25">
        <v>1.0363636363636299</v>
      </c>
      <c r="H25">
        <v>19.048275862068898</v>
      </c>
      <c r="I25">
        <v>0.10045454545454501</v>
      </c>
    </row>
    <row r="26" spans="2:9" x14ac:dyDescent="0.3">
      <c r="B26">
        <v>19.0702479338843</v>
      </c>
      <c r="C26">
        <v>0.34418604651162599</v>
      </c>
      <c r="E26">
        <v>19.0302613480054</v>
      </c>
      <c r="F26">
        <v>1.08636363636363</v>
      </c>
      <c r="H26">
        <v>20.413793103448299</v>
      </c>
      <c r="I26">
        <v>0.103636363636363</v>
      </c>
    </row>
    <row r="27" spans="2:9" x14ac:dyDescent="0.3">
      <c r="B27">
        <v>20.3719008264462</v>
      </c>
      <c r="C27">
        <v>0.386976744186044</v>
      </c>
      <c r="E27">
        <v>20.3301237964235</v>
      </c>
      <c r="F27">
        <v>1.13636363636363</v>
      </c>
      <c r="H27">
        <v>21.6551724137931</v>
      </c>
      <c r="I27">
        <v>0.107727272727273</v>
      </c>
    </row>
    <row r="28" spans="2:9" x14ac:dyDescent="0.3">
      <c r="B28">
        <v>21.549586776859499</v>
      </c>
      <c r="C28">
        <v>0.42976744186046301</v>
      </c>
      <c r="E28">
        <v>21.6299862448417</v>
      </c>
      <c r="F28">
        <v>1.1863636363636301</v>
      </c>
      <c r="H28">
        <v>22.8965517241379</v>
      </c>
      <c r="I28">
        <v>0.111818181818181</v>
      </c>
    </row>
    <row r="29" spans="2:9" x14ac:dyDescent="0.3">
      <c r="B29">
        <v>22.913223140495798</v>
      </c>
      <c r="C29">
        <v>0.47441860465116098</v>
      </c>
      <c r="E29">
        <v>22.867950481430402</v>
      </c>
      <c r="F29">
        <v>1.2318181818181799</v>
      </c>
      <c r="H29">
        <v>24.075862068965499</v>
      </c>
      <c r="I29">
        <v>0.11363636363636299</v>
      </c>
    </row>
    <row r="30" spans="2:9" x14ac:dyDescent="0.3">
      <c r="B30">
        <v>23.9669421487603</v>
      </c>
      <c r="C30">
        <v>0.51906976744185895</v>
      </c>
      <c r="E30">
        <v>23.982118294360198</v>
      </c>
      <c r="F30">
        <v>1.28181818181818</v>
      </c>
      <c r="H30">
        <v>25.193103448275799</v>
      </c>
      <c r="I30">
        <v>0.11454545454545401</v>
      </c>
    </row>
    <row r="31" spans="2:9" x14ac:dyDescent="0.3">
      <c r="B31">
        <v>25.144628099173499</v>
      </c>
      <c r="C31">
        <v>0.56372093023255698</v>
      </c>
      <c r="E31">
        <v>25.096286107290101</v>
      </c>
      <c r="F31">
        <v>1.3181818181818099</v>
      </c>
      <c r="H31">
        <v>25.937931034482698</v>
      </c>
      <c r="I31">
        <v>0.118181818181818</v>
      </c>
    </row>
    <row r="32" spans="2:9" x14ac:dyDescent="0.3">
      <c r="B32">
        <v>25.888429752066099</v>
      </c>
      <c r="C32">
        <v>0.59906976744185902</v>
      </c>
      <c r="E32">
        <v>25.839064649243301</v>
      </c>
      <c r="F32">
        <v>1.36363636363636</v>
      </c>
      <c r="H32">
        <v>26.9931034482758</v>
      </c>
      <c r="I32">
        <v>0.118636363636363</v>
      </c>
    </row>
    <row r="33" spans="2:18" x14ac:dyDescent="0.3">
      <c r="B33">
        <v>27.004132231404899</v>
      </c>
      <c r="C33">
        <v>0.64186046511627803</v>
      </c>
      <c r="E33">
        <v>27.015130674002599</v>
      </c>
      <c r="F33">
        <v>1.4045454545454501</v>
      </c>
      <c r="H33">
        <v>27.924137931034501</v>
      </c>
      <c r="I33">
        <v>0.118636363636363</v>
      </c>
    </row>
    <row r="34" spans="2:18" x14ac:dyDescent="0.3">
      <c r="B34">
        <v>27.933884297520599</v>
      </c>
      <c r="C34">
        <v>0.68465116279069704</v>
      </c>
      <c r="E34">
        <v>27.943603851444099</v>
      </c>
      <c r="F34">
        <v>1.44090909090909</v>
      </c>
      <c r="H34">
        <v>28.855172413793099</v>
      </c>
      <c r="I34">
        <v>0.118181818181818</v>
      </c>
    </row>
    <row r="35" spans="2:18" x14ac:dyDescent="0.3">
      <c r="B35">
        <v>28.863636363636299</v>
      </c>
      <c r="C35">
        <v>0.72744186046511605</v>
      </c>
      <c r="E35">
        <v>28.810178817056201</v>
      </c>
      <c r="F35">
        <v>1.47727272727272</v>
      </c>
      <c r="H35">
        <v>29.910344827586201</v>
      </c>
      <c r="I35">
        <v>0.117272727272727</v>
      </c>
    </row>
    <row r="36" spans="2:18" x14ac:dyDescent="0.3">
      <c r="B36">
        <v>29.917355371900801</v>
      </c>
      <c r="C36">
        <v>0.77395348837209299</v>
      </c>
      <c r="E36">
        <v>29.8624484181566</v>
      </c>
      <c r="F36">
        <v>1.5136363636363599</v>
      </c>
    </row>
    <row r="37" spans="2:18" ht="15" thickBot="1" x14ac:dyDescent="0.35"/>
    <row r="38" spans="2:18" ht="15" thickBot="1" x14ac:dyDescent="0.35">
      <c r="L38" s="12" t="s">
        <v>18</v>
      </c>
      <c r="M38" s="13"/>
      <c r="N38" s="14"/>
      <c r="P38" s="12" t="s">
        <v>19</v>
      </c>
      <c r="Q38" s="13"/>
      <c r="R38" s="14"/>
    </row>
    <row r="39" spans="2:18" ht="15" thickBot="1" x14ac:dyDescent="0.35">
      <c r="L39" s="15" t="s">
        <v>7</v>
      </c>
      <c r="M39" s="16" t="s">
        <v>8</v>
      </c>
      <c r="N39" s="17" t="s">
        <v>9</v>
      </c>
      <c r="P39" s="15" t="s">
        <v>7</v>
      </c>
      <c r="Q39" s="16" t="s">
        <v>8</v>
      </c>
      <c r="R39" s="17" t="s">
        <v>9</v>
      </c>
    </row>
    <row r="40" spans="2:18" x14ac:dyDescent="0.3">
      <c r="L40" s="1" t="s">
        <v>10</v>
      </c>
      <c r="M40" s="2">
        <v>0.1091</v>
      </c>
      <c r="N40" s="3" t="s">
        <v>11</v>
      </c>
      <c r="P40" s="1" t="s">
        <v>10</v>
      </c>
      <c r="Q40" s="2">
        <f>M40*25*25</f>
        <v>68.1875</v>
      </c>
      <c r="R40" s="3" t="s">
        <v>11</v>
      </c>
    </row>
    <row r="41" spans="2:18" ht="19.2" x14ac:dyDescent="0.3">
      <c r="L41" s="4" t="s">
        <v>12</v>
      </c>
      <c r="M41" s="5">
        <v>0.22650000000000001</v>
      </c>
      <c r="N41" s="6" t="s">
        <v>13</v>
      </c>
      <c r="P41" s="4" t="s">
        <v>12</v>
      </c>
      <c r="Q41" s="2">
        <f t="shared" ref="Q41:Q45" si="0">M41*25</f>
        <v>5.6625000000000005</v>
      </c>
      <c r="R41" s="6" t="s">
        <v>13</v>
      </c>
    </row>
    <row r="42" spans="2:18" x14ac:dyDescent="0.3">
      <c r="L42" s="1" t="s">
        <v>14</v>
      </c>
      <c r="M42" s="2">
        <v>0.53500000000000003</v>
      </c>
      <c r="N42" s="3" t="s">
        <v>13</v>
      </c>
      <c r="P42" s="1" t="s">
        <v>14</v>
      </c>
      <c r="Q42" s="2">
        <f t="shared" si="0"/>
        <v>13.375</v>
      </c>
      <c r="R42" s="3" t="s">
        <v>13</v>
      </c>
    </row>
    <row r="43" spans="2:18" x14ac:dyDescent="0.3">
      <c r="L43" s="7" t="s">
        <v>15</v>
      </c>
      <c r="M43" s="18">
        <v>-0.4385</v>
      </c>
      <c r="N43" s="3" t="s">
        <v>13</v>
      </c>
      <c r="P43" s="7" t="s">
        <v>15</v>
      </c>
      <c r="Q43" s="2">
        <f>M43*25</f>
        <v>-10.9625</v>
      </c>
      <c r="R43" s="3" t="s">
        <v>13</v>
      </c>
    </row>
    <row r="44" spans="2:18" x14ac:dyDescent="0.3">
      <c r="L44" s="8" t="s">
        <v>16</v>
      </c>
      <c r="M44" s="5">
        <v>0</v>
      </c>
      <c r="N44" s="6" t="s">
        <v>13</v>
      </c>
      <c r="P44" s="8" t="s">
        <v>16</v>
      </c>
      <c r="Q44" s="2">
        <f t="shared" si="0"/>
        <v>0</v>
      </c>
      <c r="R44" s="6" t="s">
        <v>13</v>
      </c>
    </row>
    <row r="45" spans="2:18" ht="15" thickBot="1" x14ac:dyDescent="0.35">
      <c r="L45" s="9" t="s">
        <v>17</v>
      </c>
      <c r="M45" s="10">
        <v>0</v>
      </c>
      <c r="N45" s="11" t="s">
        <v>13</v>
      </c>
      <c r="P45" s="9" t="s">
        <v>17</v>
      </c>
      <c r="Q45" s="2">
        <f t="shared" si="0"/>
        <v>0</v>
      </c>
      <c r="R45" s="11" t="s">
        <v>13</v>
      </c>
    </row>
  </sheetData>
  <sortState xmlns:xlrd2="http://schemas.microsoft.com/office/spreadsheetml/2017/richdata2" ref="H2:I35">
    <sortCondition ref="H2:H35"/>
  </sortState>
  <mergeCells count="2">
    <mergeCell ref="L38:N38"/>
    <mergeCell ref="P38:R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Pradyumna Mangal</dc:creator>
  <cp:lastModifiedBy>Pradyumna Mangal</cp:lastModifiedBy>
  <dcterms:created xsi:type="dcterms:W3CDTF">2015-06-05T18:17:20Z</dcterms:created>
  <dcterms:modified xsi:type="dcterms:W3CDTF">2025-02-20T14:24:45Z</dcterms:modified>
</cp:coreProperties>
</file>